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ott\Desktop\"/>
    </mc:Choice>
  </mc:AlternateContent>
  <xr:revisionPtr revIDLastSave="0" documentId="13_ncr:1_{C368C142-9D3C-4FB3-8BEF-79C218A9740E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Index (2)" sheetId="11" r:id="rId1"/>
    <sheet name="Index (3)" sheetId="12" r:id="rId2"/>
    <sheet name="Ingredients Master" sheetId="2" r:id="rId3"/>
    <sheet name="BLT" sheetId="3" r:id="rId4"/>
    <sheet name="Chili Con Carne" sheetId="5" r:id="rId5"/>
    <sheet name="Spag Bol" sheetId="6" r:id="rId6"/>
    <sheet name="Chicken Salad" sheetId="7" r:id="rId7"/>
    <sheet name="Full English" sheetId="8" r:id="rId8"/>
    <sheet name="Cottage Pie" sheetId="9" r:id="rId9"/>
    <sheet name="Sheperds Pie" sheetId="10" r:id="rId10"/>
  </sheets>
  <definedNames>
    <definedName name="MyList">OFFSET('Ingredients Master'!$A$1,0,0,COUNTA('Ingredients Master'!$A:$A),1)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11" l="1"/>
  <c r="B16" i="11"/>
  <c r="B17" i="11"/>
  <c r="B15" i="11"/>
  <c r="C15" i="11"/>
  <c r="C16" i="11"/>
  <c r="C6" i="11"/>
  <c r="C21" i="12"/>
  <c r="C20" i="12"/>
  <c r="C19" i="12"/>
  <c r="C18" i="12"/>
  <c r="C17" i="12"/>
  <c r="C16" i="12"/>
  <c r="B15" i="12"/>
  <c r="D7" i="12"/>
  <c r="D6" i="12"/>
  <c r="J21" i="12"/>
  <c r="F21" i="12"/>
  <c r="I20" i="12"/>
  <c r="H19" i="12"/>
  <c r="G18" i="12"/>
  <c r="J17" i="12"/>
  <c r="F17" i="12"/>
  <c r="I16" i="12"/>
  <c r="H15" i="12"/>
  <c r="C15" i="12"/>
  <c r="H12" i="12"/>
  <c r="J11" i="12"/>
  <c r="F11" i="12"/>
  <c r="H10" i="12"/>
  <c r="J9" i="12"/>
  <c r="F9" i="12"/>
  <c r="H8" i="12"/>
  <c r="J7" i="12"/>
  <c r="F7" i="12"/>
  <c r="I6" i="12"/>
  <c r="I9" i="12"/>
  <c r="I7" i="12"/>
  <c r="H6" i="12"/>
  <c r="G21" i="12"/>
  <c r="I19" i="12"/>
  <c r="I12" i="12"/>
  <c r="F6" i="12"/>
  <c r="I21" i="12"/>
  <c r="H20" i="12"/>
  <c r="G19" i="12"/>
  <c r="J18" i="12"/>
  <c r="F18" i="12"/>
  <c r="I17" i="12"/>
  <c r="H16" i="12"/>
  <c r="G15" i="12"/>
  <c r="G12" i="12"/>
  <c r="I11" i="12"/>
  <c r="G10" i="12"/>
  <c r="G8" i="12"/>
  <c r="F20" i="12"/>
  <c r="G17" i="12"/>
  <c r="F16" i="12"/>
  <c r="G11" i="12"/>
  <c r="G9" i="12"/>
  <c r="G7" i="12"/>
  <c r="H21" i="12"/>
  <c r="G20" i="12"/>
  <c r="J19" i="12"/>
  <c r="F19" i="12"/>
  <c r="I18" i="12"/>
  <c r="H17" i="12"/>
  <c r="G16" i="12"/>
  <c r="J15" i="12"/>
  <c r="F15" i="12"/>
  <c r="J12" i="12"/>
  <c r="F12" i="12"/>
  <c r="H11" i="12"/>
  <c r="J10" i="12"/>
  <c r="F10" i="12"/>
  <c r="H9" i="12"/>
  <c r="J8" i="12"/>
  <c r="F8" i="12"/>
  <c r="H7" i="12"/>
  <c r="G6" i="12"/>
  <c r="J20" i="12"/>
  <c r="H18" i="12"/>
  <c r="J16" i="12"/>
  <c r="I15" i="12"/>
  <c r="I10" i="12"/>
  <c r="I8" i="12"/>
  <c r="J6" i="12"/>
  <c r="E15" i="11"/>
  <c r="E8" i="12" l="1"/>
  <c r="E10" i="12"/>
  <c r="E12" i="12"/>
  <c r="E15" i="12"/>
  <c r="E19" i="12"/>
  <c r="E16" i="12"/>
  <c r="E20" i="12"/>
  <c r="E18" i="12"/>
  <c r="E6" i="12"/>
  <c r="E7" i="12"/>
  <c r="E9" i="12"/>
  <c r="E11" i="12"/>
  <c r="E17" i="12"/>
  <c r="E21" i="12"/>
  <c r="C7" i="11"/>
  <c r="E8" i="5"/>
  <c r="I20" i="11"/>
  <c r="I19" i="11"/>
  <c r="H20" i="11"/>
  <c r="H21" i="11"/>
  <c r="G21" i="11"/>
  <c r="F18" i="11"/>
  <c r="E16" i="11"/>
  <c r="E18" i="11"/>
  <c r="F15" i="11"/>
  <c r="H10" i="11"/>
  <c r="I6" i="11"/>
  <c r="E11" i="11"/>
  <c r="I12" i="11"/>
  <c r="H9" i="11"/>
  <c r="I15" i="11"/>
  <c r="G18" i="11"/>
  <c r="E20" i="11"/>
  <c r="F9" i="11"/>
  <c r="G10" i="11"/>
  <c r="G9" i="11"/>
  <c r="F8" i="11"/>
  <c r="F21" i="11"/>
  <c r="F16" i="11"/>
  <c r="H12" i="11"/>
  <c r="G12" i="11"/>
  <c r="G11" i="11"/>
  <c r="H11" i="11"/>
  <c r="I17" i="11"/>
  <c r="I16" i="11"/>
  <c r="I18" i="11"/>
  <c r="H16" i="11"/>
  <c r="H17" i="11"/>
  <c r="G17" i="11"/>
  <c r="F17" i="11"/>
  <c r="F20" i="11"/>
  <c r="E21" i="11"/>
  <c r="H15" i="11"/>
  <c r="F11" i="11"/>
  <c r="F7" i="11"/>
  <c r="I11" i="11"/>
  <c r="E9" i="11"/>
  <c r="H6" i="11"/>
  <c r="I10" i="11"/>
  <c r="E8" i="11"/>
  <c r="F10" i="11"/>
  <c r="G6" i="11"/>
  <c r="G8" i="11"/>
  <c r="E10" i="11"/>
  <c r="G7" i="11"/>
  <c r="F6" i="11"/>
  <c r="H18" i="11"/>
  <c r="G16" i="11"/>
  <c r="F19" i="11"/>
  <c r="E19" i="11"/>
  <c r="E6" i="11"/>
  <c r="I7" i="11"/>
  <c r="E12" i="11"/>
  <c r="F12" i="11"/>
  <c r="I21" i="11"/>
  <c r="H19" i="11"/>
  <c r="G20" i="11"/>
  <c r="G19" i="11"/>
  <c r="E17" i="11"/>
  <c r="G15" i="11"/>
  <c r="H8" i="11"/>
  <c r="I9" i="11"/>
  <c r="E7" i="11"/>
  <c r="I8" i="11"/>
  <c r="H7" i="11"/>
  <c r="D19" i="11" l="1"/>
  <c r="D18" i="11"/>
  <c r="D21" i="11"/>
  <c r="D17" i="11"/>
  <c r="D20" i="11"/>
  <c r="D16" i="11"/>
  <c r="D15" i="11"/>
  <c r="D8" i="11"/>
  <c r="D10" i="11"/>
  <c r="D12" i="11"/>
  <c r="D7" i="11"/>
  <c r="D9" i="11"/>
  <c r="D11" i="11"/>
  <c r="D6" i="11"/>
  <c r="E9" i="5" l="1"/>
  <c r="E10" i="5"/>
  <c r="E11" i="5"/>
  <c r="E12" i="5"/>
  <c r="E7" i="5"/>
</calcChain>
</file>

<file path=xl/sharedStrings.xml><?xml version="1.0" encoding="utf-8"?>
<sst xmlns="http://schemas.openxmlformats.org/spreadsheetml/2006/main" count="209" uniqueCount="53">
  <si>
    <t>What Can I Have For Dinner?</t>
  </si>
  <si>
    <t>BLT</t>
  </si>
  <si>
    <t>Serves</t>
  </si>
  <si>
    <t>Bacon</t>
  </si>
  <si>
    <t>Ingredient</t>
  </si>
  <si>
    <t>Quantity</t>
  </si>
  <si>
    <t>UOM</t>
  </si>
  <si>
    <t>Lettuce</t>
  </si>
  <si>
    <t>Tomato</t>
  </si>
  <si>
    <t>Gram(s)</t>
  </si>
  <si>
    <t>Single(s)</t>
  </si>
  <si>
    <t>Slice(s)</t>
  </si>
  <si>
    <t>Butter</t>
  </si>
  <si>
    <t>Bread</t>
  </si>
  <si>
    <t>Beef</t>
  </si>
  <si>
    <t>Red Kidney Beans</t>
  </si>
  <si>
    <t>Tinned Tomatoes</t>
  </si>
  <si>
    <t>Meal</t>
  </si>
  <si>
    <t>% Chance</t>
  </si>
  <si>
    <t>&lt;----------------------Choose Headings Here ----------------------&gt;</t>
  </si>
  <si>
    <t>Red Pepper</t>
  </si>
  <si>
    <t>Each</t>
  </si>
  <si>
    <t>Green Pepper</t>
  </si>
  <si>
    <t>Chili Powder</t>
  </si>
  <si>
    <t>tsp</t>
  </si>
  <si>
    <t>Chili Con Carne</t>
  </si>
  <si>
    <t>Link</t>
  </si>
  <si>
    <t>Spag Bol</t>
  </si>
  <si>
    <t>Description</t>
  </si>
  <si>
    <t>Chicken Salad</t>
  </si>
  <si>
    <t>Chicken breast</t>
  </si>
  <si>
    <t>Cucumber</t>
  </si>
  <si>
    <t>Cheese</t>
  </si>
  <si>
    <t>Carrot</t>
  </si>
  <si>
    <t>Chutney</t>
  </si>
  <si>
    <t>Full English</t>
  </si>
  <si>
    <t>Sausage</t>
  </si>
  <si>
    <t>Eggs</t>
  </si>
  <si>
    <t>Potato</t>
  </si>
  <si>
    <t>Swede</t>
  </si>
  <si>
    <t>Brocoli</t>
  </si>
  <si>
    <t>Cauliflower</t>
  </si>
  <si>
    <t>Cottage Pie</t>
  </si>
  <si>
    <t>Sheperds Pie</t>
  </si>
  <si>
    <t>Oregano</t>
  </si>
  <si>
    <t>Spaghetti</t>
  </si>
  <si>
    <t>Lamb</t>
  </si>
  <si>
    <t xml:space="preserve"> </t>
  </si>
  <si>
    <t>Shepards Pie</t>
  </si>
  <si>
    <t>lots of bacon.</t>
  </si>
  <si>
    <t>Vlookup</t>
  </si>
  <si>
    <t>chili!</t>
  </si>
  <si>
    <t>Using Vlookup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</si>
</sst>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1"/>
      <color rgb="FF333333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24"/>
      <color rgb="FFFF0000"/>
      <name val="Calibri"/>
      <family val="2"/>
      <scheme val="minor"/>
    </font>
    <font>
      <b/>
      <sz val="20"/>
      <color rgb="FF00206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0" fontId="3" fillId="0" borderId="0" xfId="0" applyFont="1"/>
    <xf numFmtId="0" fontId="4" fillId="0" borderId="0" xfId="1"/>
    <xf numFmtId="0" fontId="4" fillId="0" borderId="0" xfId="1" quotePrefix="1"/>
    <xf numFmtId="0" fontId="5" fillId="0" borderId="0" xfId="0" applyFont="1"/>
    <xf numFmtId="0" fontId="0" fillId="0" borderId="0" xfId="0" applyAlignment="1">
      <alignment horizontal="center"/>
    </xf>
    <xf numFmtId="9" fontId="0" fillId="0" borderId="0" xfId="0" applyNumberFormat="1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</cellXfs>
  <cellStyles count="2">
    <cellStyle name="Hyperlink" xfId="1" builtinId="8"/>
    <cellStyle name="Normal" xfId="0" builtinId="0"/>
  </cellStyles>
  <dxfs count="12"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0</xdr:row>
      <xdr:rowOff>152401</xdr:rowOff>
    </xdr:from>
    <xdr:to>
      <xdr:col>3</xdr:col>
      <xdr:colOff>361950</xdr:colOff>
      <xdr:row>2</xdr:row>
      <xdr:rowOff>57151</xdr:rowOff>
    </xdr:to>
    <xdr:sp macro="[0]!Macro2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838325" y="152401"/>
          <a:ext cx="866775" cy="2857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 to Index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</xdr:row>
          <xdr:rowOff>0</xdr:rowOff>
        </xdr:from>
        <xdr:to>
          <xdr:col>10</xdr:col>
          <xdr:colOff>152400</xdr:colOff>
          <xdr:row>3</xdr:row>
          <xdr:rowOff>85725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1</xdr:row>
      <xdr:rowOff>0</xdr:rowOff>
    </xdr:from>
    <xdr:to>
      <xdr:col>5</xdr:col>
      <xdr:colOff>257175</xdr:colOff>
      <xdr:row>2</xdr:row>
      <xdr:rowOff>95250</xdr:rowOff>
    </xdr:to>
    <xdr:sp macro="[0]!Macro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438400" y="190500"/>
          <a:ext cx="866775" cy="2857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 to Index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4</xdr:col>
      <xdr:colOff>257175</xdr:colOff>
      <xdr:row>2</xdr:row>
      <xdr:rowOff>95250</xdr:rowOff>
    </xdr:to>
    <xdr:sp macro="[0]!Macro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343150" y="190500"/>
          <a:ext cx="866775" cy="2857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 to Index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257175</xdr:colOff>
      <xdr:row>2</xdr:row>
      <xdr:rowOff>95250</xdr:rowOff>
    </xdr:to>
    <xdr:sp macro="[0]!Macro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952750" y="190500"/>
          <a:ext cx="866775" cy="2857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 to Index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5</xdr:col>
      <xdr:colOff>257175</xdr:colOff>
      <xdr:row>3</xdr:row>
      <xdr:rowOff>95250</xdr:rowOff>
    </xdr:to>
    <xdr:sp macro="[0]!Macro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952750" y="381000"/>
          <a:ext cx="866775" cy="2857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 to Index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5</xdr:col>
      <xdr:colOff>257175</xdr:colOff>
      <xdr:row>3</xdr:row>
      <xdr:rowOff>95250</xdr:rowOff>
    </xdr:to>
    <xdr:sp macro="[0]!Macro2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952750" y="381000"/>
          <a:ext cx="866775" cy="2857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 to Index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5</xdr:col>
      <xdr:colOff>257175</xdr:colOff>
      <xdr:row>3</xdr:row>
      <xdr:rowOff>95250</xdr:rowOff>
    </xdr:to>
    <xdr:sp macro="[0]!Macro2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952750" y="381000"/>
          <a:ext cx="866775" cy="2857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 to Index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5</xdr:col>
      <xdr:colOff>257175</xdr:colOff>
      <xdr:row>3</xdr:row>
      <xdr:rowOff>95250</xdr:rowOff>
    </xdr:to>
    <xdr:sp macro="[0]!Macro2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52750" y="381000"/>
          <a:ext cx="866775" cy="2857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Go to Index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F7DB2-F9FB-4D64-BA51-A54344E4651F}">
  <sheetPr codeName="Sheet10"/>
  <dimension ref="A1:I21"/>
  <sheetViews>
    <sheetView tabSelected="1" zoomScaleNormal="100" workbookViewId="0">
      <pane ySplit="5" topLeftCell="A8" activePane="bottomLeft" state="frozen"/>
      <selection activeCell="G3" sqref="G3"/>
      <selection pane="bottomLeft" activeCell="B3" sqref="B3"/>
    </sheetView>
  </sheetViews>
  <sheetFormatPr defaultRowHeight="15" x14ac:dyDescent="0.25"/>
  <cols>
    <col min="1" max="1" width="19.85546875" bestFit="1" customWidth="1"/>
    <col min="2" max="2" width="17" bestFit="1" customWidth="1"/>
    <col min="3" max="3" width="13.85546875" customWidth="1"/>
    <col min="4" max="4" width="10.28515625" bestFit="1" customWidth="1"/>
    <col min="5" max="5" width="10.140625" customWidth="1"/>
    <col min="6" max="9" width="12.7109375" customWidth="1"/>
  </cols>
  <sheetData>
    <row r="1" spans="1:9" ht="21" x14ac:dyDescent="0.35">
      <c r="A1" s="7" t="s">
        <v>0</v>
      </c>
      <c r="B1" s="7"/>
      <c r="C1" s="7"/>
      <c r="D1" s="7"/>
    </row>
    <row r="3" spans="1:9" ht="15.75" x14ac:dyDescent="0.25">
      <c r="B3" t="s">
        <v>52</v>
      </c>
      <c r="E3" s="8" t="s">
        <v>19</v>
      </c>
      <c r="F3" s="8"/>
      <c r="G3" s="8"/>
      <c r="H3" s="8"/>
      <c r="I3" s="8"/>
    </row>
    <row r="4" spans="1:9" s="4" customFormat="1" ht="15.75" x14ac:dyDescent="0.25">
      <c r="A4" s="4" t="s">
        <v>17</v>
      </c>
      <c r="B4" s="4" t="s">
        <v>28</v>
      </c>
      <c r="C4" s="4" t="s">
        <v>26</v>
      </c>
      <c r="D4" s="4" t="s">
        <v>18</v>
      </c>
      <c r="E4" s="4" t="s">
        <v>3</v>
      </c>
      <c r="F4" s="4" t="s">
        <v>7</v>
      </c>
      <c r="G4" s="4" t="s">
        <v>8</v>
      </c>
      <c r="H4" s="4" t="s">
        <v>13</v>
      </c>
    </row>
    <row r="6" spans="1:9" x14ac:dyDescent="0.25">
      <c r="A6" s="2" t="s">
        <v>1</v>
      </c>
      <c r="C6" s="2" t="str">
        <f>HYPERLINK("#'BLT'!A1","Go There")</f>
        <v>Go There</v>
      </c>
      <c r="D6" s="6">
        <f ca="1">SUM(E6:I6)/COUNTA($E$4:$I$4)</f>
        <v>1</v>
      </c>
      <c r="E6" s="5">
        <f ca="1">IF(ISERROR(MATCH(E$4,INDIRECT("'"&amp;$A6&amp;"'!A:A"),0)),0,1)</f>
        <v>1</v>
      </c>
      <c r="F6" s="5">
        <f t="shared" ref="F6:I6" ca="1" si="0">IF(ISERROR(MATCH(F$4,INDIRECT("'"&amp;$A6&amp;"'!A:A"),0)),0,1)</f>
        <v>1</v>
      </c>
      <c r="G6" s="5">
        <f t="shared" ca="1" si="0"/>
        <v>1</v>
      </c>
      <c r="H6" s="5">
        <f t="shared" ca="1" si="0"/>
        <v>1</v>
      </c>
      <c r="I6" s="5">
        <f t="shared" ca="1" si="0"/>
        <v>0</v>
      </c>
    </row>
    <row r="7" spans="1:9" x14ac:dyDescent="0.25">
      <c r="A7" s="3" t="s">
        <v>25</v>
      </c>
      <c r="C7" s="2" t="str">
        <f>HYPERLINK("#'Chili Con Carne'!A1","Go There")</f>
        <v>Go There</v>
      </c>
      <c r="D7" s="6">
        <f t="shared" ref="D7:D12" ca="1" si="1">SUM(E7:I7)/COUNTA($E$4:$I$4)</f>
        <v>0</v>
      </c>
      <c r="E7" s="5">
        <f t="shared" ref="E7:I12" ca="1" si="2">IF(ISERROR(MATCH(E$4,INDIRECT("'"&amp;$A7&amp;"'!A:A"),0)),0,1)</f>
        <v>0</v>
      </c>
      <c r="F7" s="5">
        <f t="shared" ca="1" si="2"/>
        <v>0</v>
      </c>
      <c r="G7" s="5">
        <f t="shared" ca="1" si="2"/>
        <v>0</v>
      </c>
      <c r="H7" s="5">
        <f t="shared" ca="1" si="2"/>
        <v>0</v>
      </c>
      <c r="I7" s="5">
        <f t="shared" ca="1" si="2"/>
        <v>0</v>
      </c>
    </row>
    <row r="8" spans="1:9" x14ac:dyDescent="0.25">
      <c r="A8" s="3" t="s">
        <v>27</v>
      </c>
      <c r="B8" s="3"/>
      <c r="D8" s="6">
        <f t="shared" ca="1" si="1"/>
        <v>0</v>
      </c>
      <c r="E8" s="5">
        <f t="shared" ca="1" si="2"/>
        <v>0</v>
      </c>
      <c r="F8" s="5">
        <f t="shared" ca="1" si="2"/>
        <v>0</v>
      </c>
      <c r="G8" s="5">
        <f t="shared" ca="1" si="2"/>
        <v>0</v>
      </c>
      <c r="H8" s="5">
        <f t="shared" ca="1" si="2"/>
        <v>0</v>
      </c>
      <c r="I8" s="5">
        <f t="shared" ca="1" si="2"/>
        <v>0</v>
      </c>
    </row>
    <row r="9" spans="1:9" x14ac:dyDescent="0.25">
      <c r="A9" s="3" t="s">
        <v>29</v>
      </c>
      <c r="D9" s="6">
        <f t="shared" ca="1" si="1"/>
        <v>0.5</v>
      </c>
      <c r="E9" s="5">
        <f t="shared" ca="1" si="2"/>
        <v>0</v>
      </c>
      <c r="F9" s="5">
        <f t="shared" ca="1" si="2"/>
        <v>1</v>
      </c>
      <c r="G9" s="5">
        <f t="shared" ca="1" si="2"/>
        <v>1</v>
      </c>
      <c r="H9" s="5">
        <f t="shared" ca="1" si="2"/>
        <v>0</v>
      </c>
      <c r="I9" s="5">
        <f t="shared" ca="1" si="2"/>
        <v>0</v>
      </c>
    </row>
    <row r="10" spans="1:9" x14ac:dyDescent="0.25">
      <c r="A10" s="3" t="s">
        <v>35</v>
      </c>
      <c r="B10" s="2"/>
      <c r="D10" s="6">
        <f t="shared" ca="1" si="1"/>
        <v>0.25</v>
      </c>
      <c r="E10" s="5">
        <f t="shared" ca="1" si="2"/>
        <v>1</v>
      </c>
      <c r="F10" s="5">
        <f t="shared" ca="1" si="2"/>
        <v>0</v>
      </c>
      <c r="G10" s="5">
        <f t="shared" ca="1" si="2"/>
        <v>0</v>
      </c>
      <c r="H10" s="5">
        <f t="shared" ca="1" si="2"/>
        <v>0</v>
      </c>
      <c r="I10" s="5">
        <f t="shared" ca="1" si="2"/>
        <v>0</v>
      </c>
    </row>
    <row r="11" spans="1:9" x14ac:dyDescent="0.25">
      <c r="A11" s="3" t="s">
        <v>42</v>
      </c>
      <c r="B11" s="1"/>
      <c r="D11" s="6">
        <f t="shared" ca="1" si="1"/>
        <v>0</v>
      </c>
      <c r="E11" s="5">
        <f t="shared" ca="1" si="2"/>
        <v>0</v>
      </c>
      <c r="F11" s="5">
        <f t="shared" ca="1" si="2"/>
        <v>0</v>
      </c>
      <c r="G11" s="5">
        <f t="shared" ca="1" si="2"/>
        <v>0</v>
      </c>
      <c r="H11" s="5">
        <f t="shared" ca="1" si="2"/>
        <v>0</v>
      </c>
      <c r="I11" s="5">
        <f t="shared" ca="1" si="2"/>
        <v>0</v>
      </c>
    </row>
    <row r="12" spans="1:9" x14ac:dyDescent="0.25">
      <c r="A12" s="3" t="s">
        <v>43</v>
      </c>
      <c r="D12" s="6">
        <f t="shared" ca="1" si="1"/>
        <v>0</v>
      </c>
      <c r="E12" s="5">
        <f t="shared" ca="1" si="2"/>
        <v>0</v>
      </c>
      <c r="F12" s="5">
        <f t="shared" ca="1" si="2"/>
        <v>0</v>
      </c>
      <c r="G12" s="5">
        <f t="shared" ca="1" si="2"/>
        <v>0</v>
      </c>
      <c r="H12" s="5">
        <f t="shared" ca="1" si="2"/>
        <v>0</v>
      </c>
      <c r="I12" s="5">
        <f t="shared" ca="1" si="2"/>
        <v>0</v>
      </c>
    </row>
    <row r="13" spans="1:9" x14ac:dyDescent="0.25">
      <c r="A13" s="2"/>
    </row>
    <row r="15" spans="1:9" x14ac:dyDescent="0.25">
      <c r="A15" s="2" t="s">
        <v>1</v>
      </c>
      <c r="B15" t="str">
        <f>VLOOKUP(BLT!$E$5, BLT!$E$5:$F$5, 2)</f>
        <v>lots of bacon.</v>
      </c>
      <c r="C15" s="2" t="str">
        <f>HYPERLINK("#'BLT'!A1","go there")</f>
        <v>go there</v>
      </c>
      <c r="D15">
        <f ca="1">SUM(E15:I15)/COUNTA($E$4:I$4)</f>
        <v>1</v>
      </c>
      <c r="E15">
        <f ca="1">IF(ISERROR(MATCH(E$4,INDIRECT("'"&amp;$A6&amp;"'!A:A"),0)),0,1)</f>
        <v>1</v>
      </c>
      <c r="F15">
        <f t="shared" ref="F15:I15" ca="1" si="3">IF(ISERROR(MATCH(F$4,INDIRECT("'"&amp;$A6&amp;"'!A:A"),0)),0,1)</f>
        <v>1</v>
      </c>
      <c r="G15">
        <f t="shared" ca="1" si="3"/>
        <v>1</v>
      </c>
      <c r="H15">
        <f t="shared" ca="1" si="3"/>
        <v>1</v>
      </c>
      <c r="I15">
        <f t="shared" ca="1" si="3"/>
        <v>0</v>
      </c>
    </row>
    <row r="16" spans="1:9" x14ac:dyDescent="0.25">
      <c r="A16" s="2" t="s">
        <v>25</v>
      </c>
      <c r="B16" t="str">
        <f>VLOOKUP('Chili Con Carne'!E5,'Chili Con Carne'!E5:F5,2)</f>
        <v>chili!</v>
      </c>
      <c r="C16" s="2" t="str">
        <f>HYPERLINK("#'Chili Con Carne'!A1","go there")</f>
        <v>go there</v>
      </c>
      <c r="D16">
        <f ca="1">SUM(E16:I16)/COUNTA($E$4:I$4)</f>
        <v>0</v>
      </c>
      <c r="E16">
        <f t="shared" ref="E16:I21" ca="1" si="4">IF(ISERROR(MATCH(E$4,INDIRECT("'"&amp;$A7&amp;"'!A:A"),0)),0,1)</f>
        <v>0</v>
      </c>
      <c r="F16">
        <f t="shared" ca="1" si="4"/>
        <v>0</v>
      </c>
      <c r="G16">
        <f t="shared" ca="1" si="4"/>
        <v>0</v>
      </c>
      <c r="H16">
        <f t="shared" ca="1" si="4"/>
        <v>0</v>
      </c>
      <c r="I16">
        <f t="shared" ca="1" si="4"/>
        <v>0</v>
      </c>
    </row>
    <row r="17" spans="1:9" x14ac:dyDescent="0.25">
      <c r="A17" s="2" t="s">
        <v>27</v>
      </c>
      <c r="B17" t="str">
        <f>VLOOKUP(BLT!$E$5, BLT!$E$5:$F$5, 2)</f>
        <v>lots of bacon.</v>
      </c>
      <c r="D17">
        <f ca="1">SUM(E17:I17)/COUNTA($E$4:I$4)</f>
        <v>0</v>
      </c>
      <c r="E17">
        <f t="shared" ca="1" si="4"/>
        <v>0</v>
      </c>
      <c r="F17">
        <f t="shared" ca="1" si="4"/>
        <v>0</v>
      </c>
      <c r="G17">
        <f t="shared" ca="1" si="4"/>
        <v>0</v>
      </c>
      <c r="H17">
        <f t="shared" ca="1" si="4"/>
        <v>0</v>
      </c>
      <c r="I17">
        <f t="shared" ca="1" si="4"/>
        <v>0</v>
      </c>
    </row>
    <row r="18" spans="1:9" x14ac:dyDescent="0.25">
      <c r="A18" s="2" t="s">
        <v>29</v>
      </c>
      <c r="B18" t="str">
        <f>VLOOKUP('Chicken Salad'!E5, 'Chicken Salad'!E5:F5, 2)</f>
        <v>Chicken Salad</v>
      </c>
      <c r="D18">
        <f ca="1">SUM(E18:I18)/COUNTA($E$4:I$4)</f>
        <v>0.5</v>
      </c>
      <c r="E18">
        <f t="shared" ca="1" si="4"/>
        <v>0</v>
      </c>
      <c r="F18">
        <f t="shared" ca="1" si="4"/>
        <v>1</v>
      </c>
      <c r="G18">
        <f t="shared" ca="1" si="4"/>
        <v>1</v>
      </c>
      <c r="H18">
        <f t="shared" ca="1" si="4"/>
        <v>0</v>
      </c>
      <c r="I18">
        <f t="shared" ca="1" si="4"/>
        <v>0</v>
      </c>
    </row>
    <row r="19" spans="1:9" x14ac:dyDescent="0.25">
      <c r="A19" s="2" t="s">
        <v>35</v>
      </c>
      <c r="D19">
        <f ca="1">SUM(E19:I19)/COUNTA($E$4:I$4)</f>
        <v>0.25</v>
      </c>
      <c r="E19">
        <f t="shared" ca="1" si="4"/>
        <v>1</v>
      </c>
      <c r="F19">
        <f t="shared" ca="1" si="4"/>
        <v>0</v>
      </c>
      <c r="G19">
        <f t="shared" ca="1" si="4"/>
        <v>0</v>
      </c>
      <c r="H19">
        <f t="shared" ca="1" si="4"/>
        <v>0</v>
      </c>
      <c r="I19">
        <f t="shared" ca="1" si="4"/>
        <v>0</v>
      </c>
    </row>
    <row r="20" spans="1:9" x14ac:dyDescent="0.25">
      <c r="A20" s="2" t="s">
        <v>42</v>
      </c>
      <c r="D20">
        <f ca="1">SUM(E20:I20)/COUNTA($E$4:I$4)</f>
        <v>0</v>
      </c>
      <c r="E20">
        <f t="shared" ca="1" si="4"/>
        <v>0</v>
      </c>
      <c r="F20">
        <f t="shared" ca="1" si="4"/>
        <v>0</v>
      </c>
      <c r="G20">
        <f t="shared" ca="1" si="4"/>
        <v>0</v>
      </c>
      <c r="H20">
        <f t="shared" ca="1" si="4"/>
        <v>0</v>
      </c>
      <c r="I20">
        <f t="shared" ca="1" si="4"/>
        <v>0</v>
      </c>
    </row>
    <row r="21" spans="1:9" x14ac:dyDescent="0.25">
      <c r="A21" s="2" t="s">
        <v>48</v>
      </c>
      <c r="D21">
        <f ca="1">SUM(E21:I21)/COUNTA($E$4:I$4)</f>
        <v>0</v>
      </c>
      <c r="E21">
        <f t="shared" ca="1" si="4"/>
        <v>0</v>
      </c>
      <c r="F21">
        <f t="shared" ca="1" si="4"/>
        <v>0</v>
      </c>
      <c r="G21">
        <f t="shared" ref="G21:I21" ca="1" si="5">IF(ISERROR(MATCH(G$4,INDIRECT("'"&amp;$A12&amp;"'!A:A"),0)),0,1)</f>
        <v>0</v>
      </c>
      <c r="H21">
        <f t="shared" ca="1" si="5"/>
        <v>0</v>
      </c>
      <c r="I21">
        <f t="shared" ca="1" si="5"/>
        <v>0</v>
      </c>
    </row>
  </sheetData>
  <mergeCells count="2">
    <mergeCell ref="A1:D1"/>
    <mergeCell ref="E3:I3"/>
  </mergeCells>
  <conditionalFormatting sqref="D6:D12">
    <cfRule type="iconSet" priority="2">
      <iconSet iconSet="3Symbols2">
        <cfvo type="percent" val="0"/>
        <cfvo type="percent" val="33"/>
        <cfvo type="percent" val="67"/>
      </iconSet>
    </cfRule>
  </conditionalFormatting>
  <conditionalFormatting sqref="D15:D21">
    <cfRule type="iconSet" priority="1">
      <iconSet iconSet="3Symbols2"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E4:I4" xr:uid="{F1654216-A96B-4672-AA29-35FCFDCC4305}">
      <formula1>MyList</formula1>
    </dataValidation>
  </dataValidations>
  <hyperlinks>
    <hyperlink ref="A6" location="BLT!A1" display="BLT!A1" xr:uid="{F382A6E6-A7D5-4598-BB44-7F6C64B0BB15}"/>
    <hyperlink ref="A7" location="'Chili Con Carne'!A1" display="'Chili Con Carne'!A1" xr:uid="{1A067884-C3F8-4C6D-8DB1-E4C894F94F16}"/>
    <hyperlink ref="A8" location="'Spag Bol'!A1" display="'Spag Bol'!A1" xr:uid="{D6847F90-AF58-477A-B704-395406E6AB13}"/>
    <hyperlink ref="A9" location="'Chicken Salad'!A1" display="'Chicken Salad'!A1" xr:uid="{CB851D1F-AACA-4900-93CC-C9EA654F8AB6}"/>
    <hyperlink ref="A10" location="'Full English'!A1" display="'Full English'!A1" xr:uid="{DBBC3178-1A4C-4770-8BF5-96A3FCB9917E}"/>
    <hyperlink ref="A11" location="'Cottage Pie'!A1" display="'Cottage Pie'!A1" xr:uid="{DF56913B-F0DA-499E-879C-AA56A11E5449}"/>
    <hyperlink ref="A12" location="'Sheperds Pie'!A1" display="'Sheperds Pie'!A1" xr:uid="{328DE082-A6F1-424D-85BF-2AC9023D3911}"/>
    <hyperlink ref="A15" location="BLT!A1" display="BLT" xr:uid="{1CA21386-B8B1-4FFD-A2EF-84071B2BBF94}"/>
    <hyperlink ref="A16" location="'Chili Con Carne'!A1" display="Chili Con Carne" xr:uid="{DFED6D7E-C618-46E7-87FC-1C6996F75162}"/>
    <hyperlink ref="A17" location="'Spag Bol'!A1" display="Spag Bol" xr:uid="{F284171C-E558-46BC-9937-6E7B1A0A79A2}"/>
    <hyperlink ref="A18" location="'Chicken Salad'!A1" display="Chicken Salad" xr:uid="{AD9B22E6-D338-4A5C-AE82-BFB25DA60769}"/>
    <hyperlink ref="A19" location="'Full English'!A1" display="Full English" xr:uid="{315D0851-8BA2-48B0-9AEE-533C6281C419}"/>
    <hyperlink ref="A20" location="'Cottage Pie'!A1" display="Cottage Pie" xr:uid="{EBAF965E-F0F0-43FD-977F-444262148304}"/>
    <hyperlink ref="A21" location="'Sheperds Pie'!A1" display="Shepards Pie" xr:uid="{AD8C96EC-7BB5-43A0-9774-763E7BA8AFF6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8DFD6-B0C2-4B1E-8692-8751ABDBB6D5}">
  <sheetPr codeName="Sheet11"/>
  <dimension ref="A1:J21"/>
  <sheetViews>
    <sheetView zoomScaleNormal="100" workbookViewId="0">
      <pane ySplit="5" topLeftCell="A13" activePane="bottomLeft" state="frozen"/>
      <selection activeCell="G3" sqref="G3"/>
      <selection pane="bottomLeft" activeCell="C15" sqref="C15"/>
    </sheetView>
  </sheetViews>
  <sheetFormatPr defaultRowHeight="15" x14ac:dyDescent="0.25"/>
  <cols>
    <col min="1" max="1" width="19.85546875" bestFit="1" customWidth="1"/>
    <col min="2" max="2" width="17" bestFit="1" customWidth="1"/>
    <col min="3" max="3" width="17" customWidth="1"/>
    <col min="4" max="4" width="13.85546875" customWidth="1"/>
    <col min="5" max="5" width="10.28515625" bestFit="1" customWidth="1"/>
    <col min="6" max="6" width="10.140625" customWidth="1"/>
    <col min="7" max="10" width="12.7109375" customWidth="1"/>
  </cols>
  <sheetData>
    <row r="1" spans="1:10" ht="21" x14ac:dyDescent="0.35">
      <c r="A1" s="7" t="s">
        <v>0</v>
      </c>
      <c r="B1" s="7"/>
      <c r="C1" s="7"/>
      <c r="D1" s="7"/>
      <c r="E1" s="7"/>
    </row>
    <row r="3" spans="1:10" ht="15.75" x14ac:dyDescent="0.25">
      <c r="F3" s="8" t="s">
        <v>19</v>
      </c>
      <c r="G3" s="8"/>
      <c r="H3" s="8"/>
      <c r="I3" s="8"/>
      <c r="J3" s="8"/>
    </row>
    <row r="4" spans="1:10" s="4" customFormat="1" ht="15.75" x14ac:dyDescent="0.25">
      <c r="A4" s="4" t="s">
        <v>17</v>
      </c>
      <c r="B4" s="4" t="s">
        <v>28</v>
      </c>
      <c r="C4" s="4" t="s">
        <v>50</v>
      </c>
      <c r="D4" s="4" t="s">
        <v>26</v>
      </c>
      <c r="E4" s="4" t="s">
        <v>18</v>
      </c>
      <c r="F4" s="4" t="s">
        <v>3</v>
      </c>
      <c r="G4" s="4" t="s">
        <v>7</v>
      </c>
      <c r="H4" s="4" t="s">
        <v>8</v>
      </c>
      <c r="I4" s="4" t="s">
        <v>13</v>
      </c>
    </row>
    <row r="6" spans="1:10" x14ac:dyDescent="0.25">
      <c r="A6" s="2" t="s">
        <v>1</v>
      </c>
      <c r="D6" s="2" t="str">
        <f>HYPERLINK("#'BLT'!A1","Go There")</f>
        <v>Go There</v>
      </c>
      <c r="E6" s="6">
        <f ca="1">SUM(F6:J6)/COUNTA($F$4:$J$4)</f>
        <v>1</v>
      </c>
      <c r="F6" s="5">
        <f ca="1">IF(ISERROR(MATCH(F$4,INDIRECT("'"&amp;$A6&amp;"'!A:A"),0)),0,1)</f>
        <v>1</v>
      </c>
      <c r="G6" s="5">
        <f t="shared" ref="G6:J6" ca="1" si="0">IF(ISERROR(MATCH(G$4,INDIRECT("'"&amp;$A6&amp;"'!A:A"),0)),0,1)</f>
        <v>1</v>
      </c>
      <c r="H6" s="5">
        <f t="shared" ca="1" si="0"/>
        <v>1</v>
      </c>
      <c r="I6" s="5">
        <f t="shared" ca="1" si="0"/>
        <v>1</v>
      </c>
      <c r="J6" s="5">
        <f t="shared" ca="1" si="0"/>
        <v>0</v>
      </c>
    </row>
    <row r="7" spans="1:10" x14ac:dyDescent="0.25">
      <c r="A7" s="3" t="s">
        <v>25</v>
      </c>
      <c r="D7" s="2" t="str">
        <f>HYPERLINK("#'Chili Con Carne'!A1","Go There")</f>
        <v>Go There</v>
      </c>
      <c r="E7" s="6">
        <f t="shared" ref="E7:E12" ca="1" si="1">SUM(F7:J7)/COUNTA($F$4:$J$4)</f>
        <v>0</v>
      </c>
      <c r="F7" s="5">
        <f t="shared" ref="F7:J12" ca="1" si="2">IF(ISERROR(MATCH(F$4,INDIRECT("'"&amp;$A7&amp;"'!A:A"),0)),0,1)</f>
        <v>0</v>
      </c>
      <c r="G7" s="5">
        <f t="shared" ca="1" si="2"/>
        <v>0</v>
      </c>
      <c r="H7" s="5">
        <f t="shared" ca="1" si="2"/>
        <v>0</v>
      </c>
      <c r="I7" s="5">
        <f t="shared" ca="1" si="2"/>
        <v>0</v>
      </c>
      <c r="J7" s="5">
        <f t="shared" ca="1" si="2"/>
        <v>0</v>
      </c>
    </row>
    <row r="8" spans="1:10" x14ac:dyDescent="0.25">
      <c r="A8" s="3" t="s">
        <v>27</v>
      </c>
      <c r="B8" s="3"/>
      <c r="C8" s="3"/>
      <c r="E8" s="6">
        <f t="shared" ca="1" si="1"/>
        <v>0</v>
      </c>
      <c r="F8" s="5">
        <f t="shared" ca="1" si="2"/>
        <v>0</v>
      </c>
      <c r="G8" s="5">
        <f t="shared" ca="1" si="2"/>
        <v>0</v>
      </c>
      <c r="H8" s="5">
        <f t="shared" ca="1" si="2"/>
        <v>0</v>
      </c>
      <c r="I8" s="5">
        <f t="shared" ca="1" si="2"/>
        <v>0</v>
      </c>
      <c r="J8" s="5">
        <f t="shared" ca="1" si="2"/>
        <v>0</v>
      </c>
    </row>
    <row r="9" spans="1:10" x14ac:dyDescent="0.25">
      <c r="A9" s="3" t="s">
        <v>29</v>
      </c>
      <c r="E9" s="6">
        <f t="shared" ca="1" si="1"/>
        <v>0.5</v>
      </c>
      <c r="F9" s="5">
        <f t="shared" ca="1" si="2"/>
        <v>0</v>
      </c>
      <c r="G9" s="5">
        <f t="shared" ca="1" si="2"/>
        <v>1</v>
      </c>
      <c r="H9" s="5">
        <f t="shared" ca="1" si="2"/>
        <v>1</v>
      </c>
      <c r="I9" s="5">
        <f t="shared" ca="1" si="2"/>
        <v>0</v>
      </c>
      <c r="J9" s="5">
        <f t="shared" ca="1" si="2"/>
        <v>0</v>
      </c>
    </row>
    <row r="10" spans="1:10" x14ac:dyDescent="0.25">
      <c r="A10" s="3" t="s">
        <v>35</v>
      </c>
      <c r="B10" s="2"/>
      <c r="C10" s="2"/>
      <c r="E10" s="6">
        <f t="shared" ca="1" si="1"/>
        <v>0.25</v>
      </c>
      <c r="F10" s="5">
        <f t="shared" ca="1" si="2"/>
        <v>1</v>
      </c>
      <c r="G10" s="5">
        <f t="shared" ca="1" si="2"/>
        <v>0</v>
      </c>
      <c r="H10" s="5">
        <f t="shared" ca="1" si="2"/>
        <v>0</v>
      </c>
      <c r="I10" s="5">
        <f t="shared" ca="1" si="2"/>
        <v>0</v>
      </c>
      <c r="J10" s="5">
        <f t="shared" ca="1" si="2"/>
        <v>0</v>
      </c>
    </row>
    <row r="11" spans="1:10" x14ac:dyDescent="0.25">
      <c r="A11" s="3" t="s">
        <v>42</v>
      </c>
      <c r="B11" s="1"/>
      <c r="C11" s="1"/>
      <c r="E11" s="6">
        <f t="shared" ca="1" si="1"/>
        <v>0</v>
      </c>
      <c r="F11" s="5">
        <f t="shared" ca="1" si="2"/>
        <v>0</v>
      </c>
      <c r="G11" s="5">
        <f t="shared" ca="1" si="2"/>
        <v>0</v>
      </c>
      <c r="H11" s="5">
        <f t="shared" ca="1" si="2"/>
        <v>0</v>
      </c>
      <c r="I11" s="5">
        <f t="shared" ca="1" si="2"/>
        <v>0</v>
      </c>
      <c r="J11" s="5">
        <f t="shared" ca="1" si="2"/>
        <v>0</v>
      </c>
    </row>
    <row r="12" spans="1:10" x14ac:dyDescent="0.25">
      <c r="A12" s="3" t="s">
        <v>43</v>
      </c>
      <c r="E12" s="6">
        <f t="shared" ca="1" si="1"/>
        <v>0</v>
      </c>
      <c r="F12" s="5">
        <f t="shared" ca="1" si="2"/>
        <v>0</v>
      </c>
      <c r="G12" s="5">
        <f t="shared" ca="1" si="2"/>
        <v>0</v>
      </c>
      <c r="H12" s="5">
        <f t="shared" ca="1" si="2"/>
        <v>0</v>
      </c>
      <c r="I12" s="5">
        <f t="shared" ca="1" si="2"/>
        <v>0</v>
      </c>
      <c r="J12" s="5">
        <f t="shared" ca="1" si="2"/>
        <v>0</v>
      </c>
    </row>
    <row r="13" spans="1:10" x14ac:dyDescent="0.25">
      <c r="A13" s="2"/>
    </row>
    <row r="15" spans="1:10" x14ac:dyDescent="0.25">
      <c r="A15" s="2" t="s">
        <v>1</v>
      </c>
      <c r="B15" t="str">
        <f>VLOOKUP(BLT!E5, BLT!E5:F5, 2)</f>
        <v>lots of bacon.</v>
      </c>
      <c r="C15" t="e">
        <f ca="1">VLOOKUP($E4,INDIRECT("'"&amp;$A6&amp;"'!A:A"),0)</f>
        <v>#N/A</v>
      </c>
      <c r="D15" t="s">
        <v>47</v>
      </c>
      <c r="E15">
        <f ca="1">SUM(F15:J15)/COUNTA($F$4:J$4)</f>
        <v>1</v>
      </c>
      <c r="F15">
        <f ca="1">IF(ISERROR(MATCH(F$4,INDIRECT("'"&amp;$A6&amp;"'!A:A"),0)),0,1)</f>
        <v>1</v>
      </c>
      <c r="G15">
        <f t="shared" ref="G15:J15" ca="1" si="3">IF(ISERROR(MATCH(G$4,INDIRECT("'"&amp;$A6&amp;"'!A:A"),0)),0,1)</f>
        <v>1</v>
      </c>
      <c r="H15">
        <f t="shared" ca="1" si="3"/>
        <v>1</v>
      </c>
      <c r="I15">
        <f t="shared" ca="1" si="3"/>
        <v>1</v>
      </c>
      <c r="J15">
        <f t="shared" ca="1" si="3"/>
        <v>0</v>
      </c>
    </row>
    <row r="16" spans="1:10" x14ac:dyDescent="0.25">
      <c r="A16" s="2" t="s">
        <v>25</v>
      </c>
      <c r="C16" t="e">
        <f>VLOOKUP(BLT!E6, BLT!E6:F6, 2)</f>
        <v>#N/A</v>
      </c>
      <c r="E16">
        <f ca="1">SUM(F16:J16)/COUNTA($F$4:J$4)</f>
        <v>0</v>
      </c>
      <c r="F16">
        <f t="shared" ref="F16:J21" ca="1" si="4">IF(ISERROR(MATCH(F$4,INDIRECT("'"&amp;$A7&amp;"'!A:A"),0)),0,1)</f>
        <v>0</v>
      </c>
      <c r="G16">
        <f t="shared" ca="1" si="4"/>
        <v>0</v>
      </c>
      <c r="H16">
        <f t="shared" ca="1" si="4"/>
        <v>0</v>
      </c>
      <c r="I16">
        <f t="shared" ca="1" si="4"/>
        <v>0</v>
      </c>
      <c r="J16">
        <f t="shared" ca="1" si="4"/>
        <v>0</v>
      </c>
    </row>
    <row r="17" spans="1:10" x14ac:dyDescent="0.25">
      <c r="A17" s="2" t="s">
        <v>27</v>
      </c>
      <c r="C17" t="e">
        <f>VLOOKUP(BLT!E7, BLT!E7:F7, 2)</f>
        <v>#N/A</v>
      </c>
      <c r="E17">
        <f ca="1">SUM(F17:J17)/COUNTA($F$4:J$4)</f>
        <v>0</v>
      </c>
      <c r="F17">
        <f t="shared" ca="1" si="4"/>
        <v>0</v>
      </c>
      <c r="G17">
        <f t="shared" ca="1" si="4"/>
        <v>0</v>
      </c>
      <c r="H17">
        <f t="shared" ca="1" si="4"/>
        <v>0</v>
      </c>
      <c r="I17">
        <f t="shared" ca="1" si="4"/>
        <v>0</v>
      </c>
      <c r="J17">
        <f t="shared" ca="1" si="4"/>
        <v>0</v>
      </c>
    </row>
    <row r="18" spans="1:10" x14ac:dyDescent="0.25">
      <c r="A18" s="2" t="s">
        <v>29</v>
      </c>
      <c r="C18" t="e">
        <f>VLOOKUP(BLT!E8, BLT!E8:F8, 2)</f>
        <v>#N/A</v>
      </c>
      <c r="E18">
        <f ca="1">SUM(F18:J18)/COUNTA($F$4:J$4)</f>
        <v>0.5</v>
      </c>
      <c r="F18">
        <f t="shared" ca="1" si="4"/>
        <v>0</v>
      </c>
      <c r="G18">
        <f t="shared" ca="1" si="4"/>
        <v>1</v>
      </c>
      <c r="H18">
        <f t="shared" ca="1" si="4"/>
        <v>1</v>
      </c>
      <c r="I18">
        <f t="shared" ca="1" si="4"/>
        <v>0</v>
      </c>
      <c r="J18">
        <f t="shared" ca="1" si="4"/>
        <v>0</v>
      </c>
    </row>
    <row r="19" spans="1:10" x14ac:dyDescent="0.25">
      <c r="A19" s="2" t="s">
        <v>35</v>
      </c>
      <c r="C19" t="e">
        <f>VLOOKUP(BLT!E9, BLT!E9:F9, 2)</f>
        <v>#N/A</v>
      </c>
      <c r="E19">
        <f ca="1">SUM(F19:J19)/COUNTA($F$4:J$4)</f>
        <v>0.25</v>
      </c>
      <c r="F19">
        <f t="shared" ca="1" si="4"/>
        <v>1</v>
      </c>
      <c r="G19">
        <f t="shared" ca="1" si="4"/>
        <v>0</v>
      </c>
      <c r="H19">
        <f t="shared" ca="1" si="4"/>
        <v>0</v>
      </c>
      <c r="I19">
        <f t="shared" ca="1" si="4"/>
        <v>0</v>
      </c>
      <c r="J19">
        <f t="shared" ca="1" si="4"/>
        <v>0</v>
      </c>
    </row>
    <row r="20" spans="1:10" x14ac:dyDescent="0.25">
      <c r="A20" s="2" t="s">
        <v>42</v>
      </c>
      <c r="C20" t="e">
        <f>VLOOKUP(BLT!E10, BLT!E10:F10, 2)</f>
        <v>#N/A</v>
      </c>
      <c r="E20">
        <f ca="1">SUM(F20:J20)/COUNTA($F$4:J$4)</f>
        <v>0</v>
      </c>
      <c r="F20">
        <f t="shared" ca="1" si="4"/>
        <v>0</v>
      </c>
      <c r="G20">
        <f t="shared" ca="1" si="4"/>
        <v>0</v>
      </c>
      <c r="H20">
        <f t="shared" ca="1" si="4"/>
        <v>0</v>
      </c>
      <c r="I20">
        <f t="shared" ca="1" si="4"/>
        <v>0</v>
      </c>
      <c r="J20">
        <f t="shared" ca="1" si="4"/>
        <v>0</v>
      </c>
    </row>
    <row r="21" spans="1:10" x14ac:dyDescent="0.25">
      <c r="A21" s="2" t="s">
        <v>48</v>
      </c>
      <c r="C21" t="e">
        <f>VLOOKUP(BLT!E11, BLT!E11:F11, 2)</f>
        <v>#N/A</v>
      </c>
      <c r="E21">
        <f ca="1">SUM(F21:J21)/COUNTA($F$4:J$4)</f>
        <v>0</v>
      </c>
      <c r="F21">
        <f t="shared" ca="1" si="4"/>
        <v>0</v>
      </c>
      <c r="G21">
        <f t="shared" ca="1" si="4"/>
        <v>0</v>
      </c>
      <c r="H21">
        <f t="shared" ca="1" si="4"/>
        <v>0</v>
      </c>
      <c r="I21">
        <f t="shared" ca="1" si="4"/>
        <v>0</v>
      </c>
      <c r="J21">
        <f t="shared" ca="1" si="4"/>
        <v>0</v>
      </c>
    </row>
  </sheetData>
  <mergeCells count="2">
    <mergeCell ref="A1:E1"/>
    <mergeCell ref="F3:J3"/>
  </mergeCells>
  <conditionalFormatting sqref="E6:E12">
    <cfRule type="iconSet" priority="2">
      <iconSet iconSet="3Symbols2">
        <cfvo type="percent" val="0"/>
        <cfvo type="percent" val="33"/>
        <cfvo type="percent" val="67"/>
      </iconSet>
    </cfRule>
  </conditionalFormatting>
  <conditionalFormatting sqref="E15:E21">
    <cfRule type="iconSet" priority="1">
      <iconSet iconSet="3Symbols2"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F4:J4" xr:uid="{3D8EF831-7DAA-46FE-AE94-85D0ACC80D2A}">
      <formula1>MyList</formula1>
    </dataValidation>
  </dataValidations>
  <hyperlinks>
    <hyperlink ref="A6" location="BLT!A1" display="BLT!A1" xr:uid="{A80B0597-788C-4163-8166-2F585D097317}"/>
    <hyperlink ref="A7" location="'Chili Con Carne'!A1" display="'Chili Con Carne'!A1" xr:uid="{EDC4C190-CA90-45CD-A3C9-26BE1924DE98}"/>
    <hyperlink ref="A8" location="'Spag Bol'!A1" display="'Spag Bol'!A1" xr:uid="{8C4211F5-AE2C-439A-9FBD-140EE795AF80}"/>
    <hyperlink ref="A9" location="'Chicken Salad'!A1" display="'Chicken Salad'!A1" xr:uid="{4E5136E5-DB8D-43B3-81EC-6209F901B101}"/>
    <hyperlink ref="A10" location="'Full English'!A1" display="'Full English'!A1" xr:uid="{FA7031E8-9F67-4D4E-AEAF-691FB7D45A95}"/>
    <hyperlink ref="A11" location="'Cottage Pie'!A1" display="'Cottage Pie'!A1" xr:uid="{44FFACE6-B331-4DCB-B2C5-EED0EB76BF12}"/>
    <hyperlink ref="A12" location="'Sheperds Pie'!A1" display="'Sheperds Pie'!A1" xr:uid="{F675A859-A402-40AB-81FD-DDE7216E391F}"/>
    <hyperlink ref="A15" location="BLT!A1" display="BLT" xr:uid="{B09AF06E-DF29-4BAF-B851-2A2FD490206D}"/>
    <hyperlink ref="A16" location="'Chili Con Carne'!A1" display="Chili Con Carne" xr:uid="{BCE16112-189C-4939-B4E4-46EF454D43F1}"/>
    <hyperlink ref="A17" location="'Spag Bol'!A1" display="Spag Bol" xr:uid="{4CA9CA58-C969-49CD-A556-93D4D86707F7}"/>
    <hyperlink ref="A18" location="'Chicken Salad'!A1" display="Chicken Salad" xr:uid="{B79FF209-1A5A-4AB5-AF4B-4163046D0C33}"/>
    <hyperlink ref="A19" location="'Full English'!A1" display="Full English" xr:uid="{A1C02B4F-6490-4B77-82A1-C0F78AB5029F}"/>
    <hyperlink ref="A20" location="'Cottage Pie'!A1" display="Cottage Pie" xr:uid="{9008EA58-438C-40CD-BF1F-36B8FA74B6A4}"/>
    <hyperlink ref="A21" location="'Sheperds Pie'!A1" display="Shepards Pie" xr:uid="{ED10A4C9-7C4C-456F-8395-574B8793CDCE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5"/>
  <sheetViews>
    <sheetView workbookViewId="0">
      <selection activeCell="H3" sqref="H3"/>
    </sheetView>
  </sheetViews>
  <sheetFormatPr defaultRowHeight="15" x14ac:dyDescent="0.25"/>
  <cols>
    <col min="1" max="1" width="16.85546875" bestFit="1" customWidth="1"/>
  </cols>
  <sheetData>
    <row r="1" spans="1:1" x14ac:dyDescent="0.25">
      <c r="A1" t="s">
        <v>3</v>
      </c>
    </row>
    <row r="2" spans="1:1" x14ac:dyDescent="0.25">
      <c r="A2" t="s">
        <v>14</v>
      </c>
    </row>
    <row r="3" spans="1:1" x14ac:dyDescent="0.25">
      <c r="A3" t="s">
        <v>13</v>
      </c>
    </row>
    <row r="4" spans="1:1" x14ac:dyDescent="0.25">
      <c r="A4" t="s">
        <v>40</v>
      </c>
    </row>
    <row r="5" spans="1:1" x14ac:dyDescent="0.25">
      <c r="A5" t="s">
        <v>12</v>
      </c>
    </row>
    <row r="6" spans="1:1" x14ac:dyDescent="0.25">
      <c r="A6" t="s">
        <v>33</v>
      </c>
    </row>
    <row r="7" spans="1:1" x14ac:dyDescent="0.25">
      <c r="A7" t="s">
        <v>41</v>
      </c>
    </row>
    <row r="8" spans="1:1" x14ac:dyDescent="0.25">
      <c r="A8" t="s">
        <v>32</v>
      </c>
    </row>
    <row r="9" spans="1:1" x14ac:dyDescent="0.25">
      <c r="A9" t="s">
        <v>30</v>
      </c>
    </row>
    <row r="10" spans="1:1" x14ac:dyDescent="0.25">
      <c r="A10" t="s">
        <v>23</v>
      </c>
    </row>
    <row r="11" spans="1:1" x14ac:dyDescent="0.25">
      <c r="A11" t="s">
        <v>34</v>
      </c>
    </row>
    <row r="12" spans="1:1" x14ac:dyDescent="0.25">
      <c r="A12" t="s">
        <v>31</v>
      </c>
    </row>
    <row r="13" spans="1:1" x14ac:dyDescent="0.25">
      <c r="A13" t="s">
        <v>37</v>
      </c>
    </row>
    <row r="14" spans="1:1" x14ac:dyDescent="0.25">
      <c r="A14" t="s">
        <v>22</v>
      </c>
    </row>
    <row r="15" spans="1:1" x14ac:dyDescent="0.25">
      <c r="A15" t="s">
        <v>46</v>
      </c>
    </row>
    <row r="16" spans="1:1" x14ac:dyDescent="0.25">
      <c r="A16" t="s">
        <v>7</v>
      </c>
    </row>
    <row r="17" spans="1:1" x14ac:dyDescent="0.25">
      <c r="A17" t="s">
        <v>44</v>
      </c>
    </row>
    <row r="18" spans="1:1" x14ac:dyDescent="0.25">
      <c r="A18" t="s">
        <v>38</v>
      </c>
    </row>
    <row r="19" spans="1:1" x14ac:dyDescent="0.25">
      <c r="A19" t="s">
        <v>15</v>
      </c>
    </row>
    <row r="20" spans="1:1" x14ac:dyDescent="0.25">
      <c r="A20" t="s">
        <v>20</v>
      </c>
    </row>
    <row r="21" spans="1:1" x14ac:dyDescent="0.25">
      <c r="A21" t="s">
        <v>36</v>
      </c>
    </row>
    <row r="22" spans="1:1" x14ac:dyDescent="0.25">
      <c r="A22" t="s">
        <v>45</v>
      </c>
    </row>
    <row r="23" spans="1:1" x14ac:dyDescent="0.25">
      <c r="A23" t="s">
        <v>39</v>
      </c>
    </row>
    <row r="24" spans="1:1" x14ac:dyDescent="0.25">
      <c r="A24" t="s">
        <v>16</v>
      </c>
    </row>
    <row r="25" spans="1:1" x14ac:dyDescent="0.25">
      <c r="A25" t="s">
        <v>8</v>
      </c>
    </row>
  </sheetData>
  <sortState xmlns:xlrd2="http://schemas.microsoft.com/office/spreadsheetml/2017/richdata2" ref="A1:A25">
    <sortCondition ref="A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1"/>
  <sheetViews>
    <sheetView workbookViewId="0">
      <pane ySplit="6" topLeftCell="A7" activePane="bottomLeft" state="frozen"/>
      <selection activeCell="G3" sqref="G3"/>
      <selection pane="bottomLeft"/>
    </sheetView>
  </sheetViews>
  <sheetFormatPr defaultRowHeight="15" x14ac:dyDescent="0.25"/>
  <sheetData>
    <row r="1" spans="1:6" ht="31.5" x14ac:dyDescent="0.5">
      <c r="A1" s="9" t="s">
        <v>1</v>
      </c>
    </row>
    <row r="3" spans="1:6" x14ac:dyDescent="0.25">
      <c r="A3" t="s">
        <v>2</v>
      </c>
      <c r="B3">
        <v>1</v>
      </c>
    </row>
    <row r="5" spans="1:6" x14ac:dyDescent="0.25">
      <c r="A5" t="s">
        <v>4</v>
      </c>
      <c r="B5" t="s">
        <v>5</v>
      </c>
      <c r="C5" t="s">
        <v>6</v>
      </c>
      <c r="E5" t="s">
        <v>28</v>
      </c>
      <c r="F5" t="s">
        <v>49</v>
      </c>
    </row>
    <row r="7" spans="1:6" x14ac:dyDescent="0.25">
      <c r="A7" t="s">
        <v>3</v>
      </c>
      <c r="B7">
        <v>3</v>
      </c>
      <c r="C7" t="s">
        <v>11</v>
      </c>
    </row>
    <row r="8" spans="1:6" x14ac:dyDescent="0.25">
      <c r="A8" t="s">
        <v>7</v>
      </c>
      <c r="B8">
        <v>50</v>
      </c>
      <c r="C8" t="s">
        <v>9</v>
      </c>
    </row>
    <row r="9" spans="1:6" x14ac:dyDescent="0.25">
      <c r="A9" t="s">
        <v>8</v>
      </c>
      <c r="B9">
        <v>1</v>
      </c>
      <c r="C9" t="s">
        <v>10</v>
      </c>
    </row>
    <row r="10" spans="1:6" x14ac:dyDescent="0.25">
      <c r="A10" t="s">
        <v>12</v>
      </c>
      <c r="B10">
        <v>20</v>
      </c>
      <c r="C10" t="s">
        <v>9</v>
      </c>
    </row>
    <row r="11" spans="1:6" x14ac:dyDescent="0.25">
      <c r="A11" t="s">
        <v>13</v>
      </c>
      <c r="B11">
        <v>2</v>
      </c>
      <c r="C11" t="s">
        <v>11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autoLine="0" autoPict="0" r:id="rId5">
            <anchor moveWithCells="1">
              <from>
                <xdr:col>8</xdr:col>
                <xdr:colOff>19050</xdr:colOff>
                <xdr:row>2</xdr:row>
                <xdr:rowOff>0</xdr:rowOff>
              </from>
              <to>
                <xdr:col>10</xdr:col>
                <xdr:colOff>152400</xdr:colOff>
                <xdr:row>3</xdr:row>
                <xdr:rowOff>85725</xdr:rowOff>
              </to>
            </anchor>
          </controlPr>
        </control>
      </mc:Choice>
      <mc:Fallback>
        <control shapeId="5122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workbookViewId="0">
      <pane ySplit="6" topLeftCell="A7" activePane="bottomLeft" state="frozen"/>
      <selection activeCell="G3" sqref="G3"/>
      <selection pane="bottomLeft" activeCell="F6" sqref="F6"/>
    </sheetView>
  </sheetViews>
  <sheetFormatPr defaultRowHeight="15" x14ac:dyDescent="0.25"/>
  <cols>
    <col min="1" max="1" width="16.85546875" bestFit="1" customWidth="1"/>
  </cols>
  <sheetData>
    <row r="1" spans="1:6" ht="26.25" x14ac:dyDescent="0.4">
      <c r="A1" s="10" t="s">
        <v>25</v>
      </c>
    </row>
    <row r="2" spans="1:6" ht="31.5" x14ac:dyDescent="0.5">
      <c r="D2" s="9"/>
    </row>
    <row r="3" spans="1:6" x14ac:dyDescent="0.25">
      <c r="A3" t="s">
        <v>2</v>
      </c>
      <c r="B3">
        <v>1</v>
      </c>
    </row>
    <row r="5" spans="1:6" x14ac:dyDescent="0.25">
      <c r="A5" t="s">
        <v>4</v>
      </c>
      <c r="B5" t="s">
        <v>5</v>
      </c>
      <c r="C5" t="s">
        <v>6</v>
      </c>
      <c r="E5" t="s">
        <v>28</v>
      </c>
      <c r="F5" t="s">
        <v>51</v>
      </c>
    </row>
    <row r="7" spans="1:6" x14ac:dyDescent="0.25">
      <c r="A7" t="s">
        <v>14</v>
      </c>
      <c r="B7">
        <v>500</v>
      </c>
      <c r="C7" t="s">
        <v>9</v>
      </c>
      <c r="E7" t="b">
        <f t="shared" ref="E7:E12" ca="1" si="0">ISERROR(MATCH(A7,MyList,0))</f>
        <v>0</v>
      </c>
    </row>
    <row r="8" spans="1:6" x14ac:dyDescent="0.25">
      <c r="A8" t="s">
        <v>15</v>
      </c>
      <c r="B8">
        <v>240</v>
      </c>
      <c r="C8" t="s">
        <v>9</v>
      </c>
      <c r="E8" t="b">
        <f t="shared" ca="1" si="0"/>
        <v>0</v>
      </c>
    </row>
    <row r="9" spans="1:6" x14ac:dyDescent="0.25">
      <c r="A9" t="s">
        <v>16</v>
      </c>
      <c r="B9">
        <v>400</v>
      </c>
      <c r="C9" t="s">
        <v>9</v>
      </c>
      <c r="E9" t="b">
        <f t="shared" ca="1" si="0"/>
        <v>0</v>
      </c>
    </row>
    <row r="10" spans="1:6" x14ac:dyDescent="0.25">
      <c r="A10" t="s">
        <v>20</v>
      </c>
      <c r="B10">
        <v>1</v>
      </c>
      <c r="C10" t="s">
        <v>21</v>
      </c>
      <c r="E10" t="b">
        <f t="shared" ca="1" si="0"/>
        <v>0</v>
      </c>
    </row>
    <row r="11" spans="1:6" x14ac:dyDescent="0.25">
      <c r="A11" t="s">
        <v>22</v>
      </c>
      <c r="B11">
        <v>1</v>
      </c>
      <c r="C11" t="s">
        <v>21</v>
      </c>
      <c r="E11" t="b">
        <f t="shared" ca="1" si="0"/>
        <v>0</v>
      </c>
    </row>
    <row r="12" spans="1:6" x14ac:dyDescent="0.25">
      <c r="A12" t="s">
        <v>23</v>
      </c>
      <c r="B12">
        <v>1</v>
      </c>
      <c r="C12" t="s">
        <v>24</v>
      </c>
      <c r="E12" t="b">
        <f t="shared" ca="1" si="0"/>
        <v>0</v>
      </c>
    </row>
  </sheetData>
  <conditionalFormatting sqref="A7:A20">
    <cfRule type="expression" dxfId="11" priority="2">
      <formula>ISERROR(MATCH(A7,MyList,0))</formula>
    </cfRule>
  </conditionalFormatting>
  <conditionalFormatting sqref="A7:A20">
    <cfRule type="expression" dxfId="10" priority="1">
      <formula>ISBLANK(A7)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2"/>
  <sheetViews>
    <sheetView workbookViewId="0">
      <pane ySplit="6" topLeftCell="A7" activePane="bottomLeft" state="frozen"/>
      <selection activeCell="G3" sqref="G3"/>
      <selection pane="bottomLeft" activeCell="E5" sqref="E5:F5"/>
    </sheetView>
  </sheetViews>
  <sheetFormatPr defaultRowHeight="15" x14ac:dyDescent="0.25"/>
  <cols>
    <col min="1" max="1" width="16.85546875" bestFit="1" customWidth="1"/>
  </cols>
  <sheetData>
    <row r="1" spans="1:6" ht="26.25" x14ac:dyDescent="0.4">
      <c r="A1" s="10" t="s">
        <v>27</v>
      </c>
    </row>
    <row r="2" spans="1:6" ht="26.25" x14ac:dyDescent="0.4">
      <c r="E2" s="10"/>
    </row>
    <row r="3" spans="1:6" x14ac:dyDescent="0.25">
      <c r="A3" t="s">
        <v>2</v>
      </c>
      <c r="B3">
        <v>2</v>
      </c>
    </row>
    <row r="5" spans="1:6" x14ac:dyDescent="0.25">
      <c r="A5" t="s">
        <v>4</v>
      </c>
      <c r="B5" t="s">
        <v>5</v>
      </c>
      <c r="C5" t="s">
        <v>6</v>
      </c>
      <c r="E5" t="s">
        <v>28</v>
      </c>
      <c r="F5" t="s">
        <v>49</v>
      </c>
    </row>
    <row r="7" spans="1:6" x14ac:dyDescent="0.25">
      <c r="A7" t="s">
        <v>14</v>
      </c>
      <c r="B7">
        <v>500</v>
      </c>
      <c r="C7" t="s">
        <v>9</v>
      </c>
    </row>
    <row r="8" spans="1:6" x14ac:dyDescent="0.25">
      <c r="A8" t="s">
        <v>44</v>
      </c>
      <c r="B8">
        <v>240</v>
      </c>
      <c r="C8" t="s">
        <v>9</v>
      </c>
    </row>
    <row r="9" spans="1:6" x14ac:dyDescent="0.25">
      <c r="A9" t="s">
        <v>16</v>
      </c>
      <c r="B9">
        <v>400</v>
      </c>
      <c r="C9" t="s">
        <v>9</v>
      </c>
    </row>
    <row r="10" spans="1:6" x14ac:dyDescent="0.25">
      <c r="A10" t="s">
        <v>20</v>
      </c>
      <c r="B10">
        <v>1</v>
      </c>
      <c r="C10" t="s">
        <v>21</v>
      </c>
    </row>
    <row r="11" spans="1:6" x14ac:dyDescent="0.25">
      <c r="A11" t="s">
        <v>22</v>
      </c>
      <c r="B11">
        <v>1</v>
      </c>
      <c r="C11" t="s">
        <v>21</v>
      </c>
    </row>
    <row r="12" spans="1:6" x14ac:dyDescent="0.25">
      <c r="A12" t="s">
        <v>45</v>
      </c>
      <c r="B12">
        <v>50</v>
      </c>
      <c r="C12" t="s">
        <v>9</v>
      </c>
    </row>
  </sheetData>
  <conditionalFormatting sqref="A7:A20">
    <cfRule type="expression" dxfId="9" priority="2">
      <formula>ISERROR(MATCH(A7,MyList,0))</formula>
    </cfRule>
  </conditionalFormatting>
  <conditionalFormatting sqref="A7:A20">
    <cfRule type="expression" dxfId="8" priority="1">
      <formula>ISBLANK(A7)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3"/>
  <sheetViews>
    <sheetView workbookViewId="0">
      <pane ySplit="6" topLeftCell="A7" activePane="bottomLeft" state="frozen"/>
      <selection activeCell="G3" sqref="G3"/>
      <selection pane="bottomLeft" activeCell="F6" sqref="F6"/>
    </sheetView>
  </sheetViews>
  <sheetFormatPr defaultRowHeight="15" x14ac:dyDescent="0.25"/>
  <cols>
    <col min="1" max="1" width="16.85546875" bestFit="1" customWidth="1"/>
  </cols>
  <sheetData>
    <row r="1" spans="1:6" ht="26.25" x14ac:dyDescent="0.4">
      <c r="A1" s="10" t="s">
        <v>29</v>
      </c>
    </row>
    <row r="3" spans="1:6" ht="26.25" x14ac:dyDescent="0.4">
      <c r="A3" t="s">
        <v>2</v>
      </c>
      <c r="B3">
        <v>1</v>
      </c>
      <c r="E3" s="10"/>
    </row>
    <row r="5" spans="1:6" x14ac:dyDescent="0.25">
      <c r="A5" t="s">
        <v>4</v>
      </c>
      <c r="B5" t="s">
        <v>5</v>
      </c>
      <c r="C5" t="s">
        <v>6</v>
      </c>
      <c r="E5" t="s">
        <v>28</v>
      </c>
      <c r="F5" t="s">
        <v>29</v>
      </c>
    </row>
    <row r="7" spans="1:6" x14ac:dyDescent="0.25">
      <c r="A7" t="s">
        <v>30</v>
      </c>
      <c r="B7">
        <v>250</v>
      </c>
      <c r="C7" t="s">
        <v>9</v>
      </c>
    </row>
    <row r="8" spans="1:6" x14ac:dyDescent="0.25">
      <c r="A8" t="s">
        <v>7</v>
      </c>
      <c r="B8">
        <v>100</v>
      </c>
      <c r="C8" t="s">
        <v>9</v>
      </c>
    </row>
    <row r="9" spans="1:6" x14ac:dyDescent="0.25">
      <c r="A9" t="s">
        <v>8</v>
      </c>
      <c r="B9">
        <v>100</v>
      </c>
      <c r="C9" t="s">
        <v>9</v>
      </c>
    </row>
    <row r="10" spans="1:6" x14ac:dyDescent="0.25">
      <c r="A10" t="s">
        <v>31</v>
      </c>
      <c r="B10">
        <v>50</v>
      </c>
      <c r="C10" t="s">
        <v>9</v>
      </c>
    </row>
    <row r="11" spans="1:6" x14ac:dyDescent="0.25">
      <c r="A11" t="s">
        <v>32</v>
      </c>
      <c r="B11">
        <v>50</v>
      </c>
      <c r="C11" t="s">
        <v>9</v>
      </c>
    </row>
    <row r="12" spans="1:6" x14ac:dyDescent="0.25">
      <c r="A12" t="s">
        <v>33</v>
      </c>
      <c r="B12">
        <v>50</v>
      </c>
      <c r="C12" t="s">
        <v>9</v>
      </c>
    </row>
    <row r="13" spans="1:6" x14ac:dyDescent="0.25">
      <c r="A13" t="s">
        <v>34</v>
      </c>
      <c r="B13">
        <v>30</v>
      </c>
      <c r="C13" t="s">
        <v>9</v>
      </c>
    </row>
  </sheetData>
  <conditionalFormatting sqref="A7:A20">
    <cfRule type="expression" dxfId="7" priority="2">
      <formula>ISERROR(MATCH(A7,MyList,0))</formula>
    </cfRule>
  </conditionalFormatting>
  <conditionalFormatting sqref="A7:A20">
    <cfRule type="expression" dxfId="6" priority="1">
      <formula>ISBLANK(A7)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2"/>
  <sheetViews>
    <sheetView workbookViewId="0">
      <pane ySplit="6" topLeftCell="A7" activePane="bottomLeft" state="frozen"/>
      <selection pane="bottomLeft" activeCell="E5" sqref="E5:F5"/>
    </sheetView>
  </sheetViews>
  <sheetFormatPr defaultRowHeight="15" x14ac:dyDescent="0.25"/>
  <cols>
    <col min="1" max="1" width="16.85546875" bestFit="1" customWidth="1"/>
  </cols>
  <sheetData>
    <row r="1" spans="1:6" ht="26.25" x14ac:dyDescent="0.4">
      <c r="A1" s="10" t="s">
        <v>35</v>
      </c>
    </row>
    <row r="3" spans="1:6" x14ac:dyDescent="0.25">
      <c r="A3" t="s">
        <v>2</v>
      </c>
      <c r="B3">
        <v>1</v>
      </c>
    </row>
    <row r="5" spans="1:6" x14ac:dyDescent="0.25">
      <c r="A5" t="s">
        <v>4</v>
      </c>
      <c r="B5" t="s">
        <v>5</v>
      </c>
      <c r="C5" t="s">
        <v>6</v>
      </c>
      <c r="E5" t="s">
        <v>28</v>
      </c>
      <c r="F5" t="s">
        <v>49</v>
      </c>
    </row>
    <row r="7" spans="1:6" x14ac:dyDescent="0.25">
      <c r="A7" t="s">
        <v>3</v>
      </c>
      <c r="B7">
        <v>3</v>
      </c>
      <c r="C7" t="s">
        <v>11</v>
      </c>
    </row>
    <row r="8" spans="1:6" x14ac:dyDescent="0.25">
      <c r="A8" t="s">
        <v>36</v>
      </c>
      <c r="B8">
        <v>2</v>
      </c>
      <c r="C8" t="s">
        <v>21</v>
      </c>
    </row>
    <row r="9" spans="1:6" x14ac:dyDescent="0.25">
      <c r="A9" t="s">
        <v>37</v>
      </c>
      <c r="B9">
        <v>2</v>
      </c>
      <c r="C9" t="s">
        <v>9</v>
      </c>
    </row>
    <row r="10" spans="1:6" x14ac:dyDescent="0.25">
      <c r="A10" t="s">
        <v>16</v>
      </c>
      <c r="B10">
        <v>100</v>
      </c>
      <c r="C10" t="s">
        <v>9</v>
      </c>
    </row>
    <row r="11" spans="1:6" x14ac:dyDescent="0.25">
      <c r="A11" t="s">
        <v>22</v>
      </c>
      <c r="B11">
        <v>1</v>
      </c>
      <c r="C11" t="s">
        <v>21</v>
      </c>
    </row>
    <row r="12" spans="1:6" x14ac:dyDescent="0.25">
      <c r="A12" t="s">
        <v>23</v>
      </c>
      <c r="B12">
        <v>1</v>
      </c>
      <c r="C12" t="s">
        <v>24</v>
      </c>
    </row>
  </sheetData>
  <conditionalFormatting sqref="A7:A20">
    <cfRule type="expression" dxfId="5" priority="2">
      <formula>ISERROR(MATCH(A7,MyList,0))</formula>
    </cfRule>
  </conditionalFormatting>
  <conditionalFormatting sqref="A7:A20">
    <cfRule type="expression" dxfId="4" priority="1">
      <formula>ISBLANK(A7)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12"/>
  <sheetViews>
    <sheetView workbookViewId="0">
      <pane ySplit="6" topLeftCell="A7" activePane="bottomLeft" state="frozen"/>
      <selection activeCell="G3" sqref="G3"/>
      <selection pane="bottomLeft" activeCell="E5" sqref="E5:F5"/>
    </sheetView>
  </sheetViews>
  <sheetFormatPr defaultRowHeight="15" x14ac:dyDescent="0.25"/>
  <cols>
    <col min="1" max="1" width="16.85546875" bestFit="1" customWidth="1"/>
  </cols>
  <sheetData>
    <row r="1" spans="1:6" ht="26.25" x14ac:dyDescent="0.4">
      <c r="A1" s="10" t="s">
        <v>42</v>
      </c>
    </row>
    <row r="3" spans="1:6" x14ac:dyDescent="0.25">
      <c r="A3" t="s">
        <v>2</v>
      </c>
      <c r="B3">
        <v>1</v>
      </c>
    </row>
    <row r="5" spans="1:6" x14ac:dyDescent="0.25">
      <c r="A5" t="s">
        <v>4</v>
      </c>
      <c r="B5" t="s">
        <v>5</v>
      </c>
      <c r="C5" t="s">
        <v>6</v>
      </c>
      <c r="E5" t="s">
        <v>28</v>
      </c>
      <c r="F5" t="s">
        <v>49</v>
      </c>
    </row>
    <row r="7" spans="1:6" x14ac:dyDescent="0.25">
      <c r="A7" t="s">
        <v>14</v>
      </c>
      <c r="B7">
        <v>500</v>
      </c>
      <c r="C7" t="s">
        <v>9</v>
      </c>
    </row>
    <row r="8" spans="1:6" x14ac:dyDescent="0.25">
      <c r="A8" t="s">
        <v>38</v>
      </c>
      <c r="B8">
        <v>200</v>
      </c>
      <c r="C8" t="s">
        <v>9</v>
      </c>
    </row>
    <row r="9" spans="1:6" x14ac:dyDescent="0.25">
      <c r="A9" t="s">
        <v>39</v>
      </c>
      <c r="B9">
        <v>200</v>
      </c>
      <c r="C9" t="s">
        <v>9</v>
      </c>
    </row>
    <row r="10" spans="1:6" x14ac:dyDescent="0.25">
      <c r="A10" t="s">
        <v>33</v>
      </c>
      <c r="B10">
        <v>50</v>
      </c>
      <c r="C10" t="s">
        <v>9</v>
      </c>
    </row>
    <row r="11" spans="1:6" x14ac:dyDescent="0.25">
      <c r="A11" t="s">
        <v>40</v>
      </c>
      <c r="B11">
        <v>50</v>
      </c>
      <c r="C11" t="s">
        <v>9</v>
      </c>
    </row>
    <row r="12" spans="1:6" x14ac:dyDescent="0.25">
      <c r="A12" t="s">
        <v>41</v>
      </c>
      <c r="B12">
        <v>50</v>
      </c>
      <c r="C12" t="s">
        <v>9</v>
      </c>
    </row>
  </sheetData>
  <conditionalFormatting sqref="A7:A20">
    <cfRule type="expression" dxfId="3" priority="2">
      <formula>ISERROR(MATCH(A7,MyList,0))</formula>
    </cfRule>
  </conditionalFormatting>
  <conditionalFormatting sqref="A7:A20">
    <cfRule type="expression" dxfId="2" priority="1">
      <formula>ISBLANK(A7)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12"/>
  <sheetViews>
    <sheetView workbookViewId="0">
      <pane ySplit="6" topLeftCell="A7" activePane="bottomLeft" state="frozen"/>
      <selection activeCell="G3" sqref="G3"/>
      <selection pane="bottomLeft" activeCell="E5" sqref="E5:F5"/>
    </sheetView>
  </sheetViews>
  <sheetFormatPr defaultRowHeight="15" x14ac:dyDescent="0.25"/>
  <cols>
    <col min="1" max="1" width="16.85546875" bestFit="1" customWidth="1"/>
  </cols>
  <sheetData>
    <row r="1" spans="1:6" x14ac:dyDescent="0.25">
      <c r="A1" t="s">
        <v>43</v>
      </c>
    </row>
    <row r="3" spans="1:6" x14ac:dyDescent="0.25">
      <c r="A3" t="s">
        <v>2</v>
      </c>
      <c r="B3">
        <v>1</v>
      </c>
    </row>
    <row r="5" spans="1:6" x14ac:dyDescent="0.25">
      <c r="A5" t="s">
        <v>4</v>
      </c>
      <c r="B5" t="s">
        <v>5</v>
      </c>
      <c r="C5" t="s">
        <v>6</v>
      </c>
      <c r="E5" t="s">
        <v>28</v>
      </c>
      <c r="F5" t="s">
        <v>49</v>
      </c>
    </row>
    <row r="7" spans="1:6" x14ac:dyDescent="0.25">
      <c r="A7" t="s">
        <v>46</v>
      </c>
      <c r="B7">
        <v>500</v>
      </c>
      <c r="C7" t="s">
        <v>9</v>
      </c>
    </row>
    <row r="8" spans="1:6" x14ac:dyDescent="0.25">
      <c r="A8" t="s">
        <v>38</v>
      </c>
      <c r="B8">
        <v>200</v>
      </c>
      <c r="C8" t="s">
        <v>9</v>
      </c>
    </row>
    <row r="9" spans="1:6" x14ac:dyDescent="0.25">
      <c r="A9" t="s">
        <v>39</v>
      </c>
      <c r="B9">
        <v>200</v>
      </c>
      <c r="C9" t="s">
        <v>9</v>
      </c>
    </row>
    <row r="10" spans="1:6" x14ac:dyDescent="0.25">
      <c r="A10" t="s">
        <v>33</v>
      </c>
      <c r="B10">
        <v>50</v>
      </c>
      <c r="C10" t="s">
        <v>9</v>
      </c>
    </row>
    <row r="11" spans="1:6" x14ac:dyDescent="0.25">
      <c r="A11" t="s">
        <v>40</v>
      </c>
      <c r="B11">
        <v>50</v>
      </c>
      <c r="C11" t="s">
        <v>9</v>
      </c>
    </row>
    <row r="12" spans="1:6" x14ac:dyDescent="0.25">
      <c r="A12" t="s">
        <v>41</v>
      </c>
      <c r="B12">
        <v>50</v>
      </c>
      <c r="C12" t="s">
        <v>9</v>
      </c>
    </row>
  </sheetData>
  <conditionalFormatting sqref="A7:A20">
    <cfRule type="expression" dxfId="1" priority="2">
      <formula>ISERROR(MATCH(A7,MyList,0))</formula>
    </cfRule>
  </conditionalFormatting>
  <conditionalFormatting sqref="A7:A20">
    <cfRule type="expression" dxfId="0" priority="1">
      <formula>ISBLANK(A7)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Index (2)</vt:lpstr>
      <vt:lpstr>Index (3)</vt:lpstr>
      <vt:lpstr>Ingredients Master</vt:lpstr>
      <vt:lpstr>BLT</vt:lpstr>
      <vt:lpstr>Chili Con Carne</vt:lpstr>
      <vt:lpstr>Spag Bol</vt:lpstr>
      <vt:lpstr>Chicken Salad</vt:lpstr>
      <vt:lpstr>Full English</vt:lpstr>
      <vt:lpstr>Cottage Pie</vt:lpstr>
      <vt:lpstr>Sheperds Pie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scott</cp:lastModifiedBy>
  <dcterms:created xsi:type="dcterms:W3CDTF">2015-11-03T06:19:39Z</dcterms:created>
  <dcterms:modified xsi:type="dcterms:W3CDTF">2020-08-10T06:03:28Z</dcterms:modified>
</cp:coreProperties>
</file>